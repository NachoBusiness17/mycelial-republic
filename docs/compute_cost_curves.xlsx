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Executive_Findings" sheetId="2" state="visible" r:id="rId2"/>
    <sheet name="BreakEven" sheetId="3" state="visible" r:id="rId3"/>
    <sheet name="TCO_Curves" sheetId="4" state="visible" r:id="rId4"/>
    <sheet name="Adjusted_TCO" sheetId="5" state="visible" r:id="rId5"/>
    <sheet name="Scenario_Gri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&quot;-&quot;"/>
    <numFmt numFmtId="165" formatCode="0.0%"/>
    <numFmt numFmtId="166" formatCode="0.0"/>
  </numFmts>
  <fonts count="13">
    <font>
      <name val="Calibri"/>
      <family val="2"/>
      <color theme="1"/>
      <sz val="11"/>
      <scheme val="minor"/>
    </font>
    <font>
      <name val="Arial"/>
      <b val="1"/>
      <color rgb="001A1A2E"/>
      <sz val="16"/>
    </font>
    <font>
      <name val="Arial"/>
      <i val="1"/>
      <color rgb="00666666"/>
      <sz val="10"/>
    </font>
    <font>
      <name val="Arial"/>
      <b val="1"/>
      <color rgb="0016213E"/>
      <sz val="12"/>
    </font>
    <font>
      <name val="Arial"/>
      <b val="1"/>
      <color rgb="00FFFFFF"/>
      <sz val="11"/>
    </font>
    <font>
      <name val="Arial"/>
      <color rgb="00000000"/>
      <sz val="11"/>
    </font>
    <font>
      <name val="Arial"/>
      <color rgb="000000FF"/>
      <sz val="11"/>
    </font>
    <font>
      <name val="Arial"/>
      <color rgb="00666666"/>
      <sz val="9"/>
    </font>
    <font>
      <name val="Arial"/>
      <b val="1"/>
      <sz val="14"/>
    </font>
    <font>
      <name val="Arial"/>
      <b val="1"/>
    </font>
    <font>
      <name val="Arial"/>
      <i val="1"/>
      <color rgb="00666666"/>
      <sz val="9"/>
    </font>
    <font>
      <name val="Arial"/>
      <color rgb="00666666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wrapText="1"/>
    </xf>
    <xf numFmtId="0" fontId="5" fillId="0" borderId="0" pivotButton="0" quotePrefix="0" xfId="0"/>
    <xf numFmtId="164" fontId="6" fillId="3" borderId="0" pivotButton="0" quotePrefix="0" xfId="0"/>
    <xf numFmtId="0" fontId="6" fillId="3" borderId="0" pivotButton="0" quotePrefix="0" xfId="0"/>
    <xf numFmtId="164" fontId="0" fillId="0" borderId="0" pivotButton="0" quotePrefix="0" xfId="0"/>
    <xf numFmtId="0" fontId="7" fillId="0" borderId="0" pivotButton="0" quotePrefix="0" xfId="0"/>
    <xf numFmtId="165" fontId="6" fillId="3" borderId="0" pivotButton="0" quotePrefix="0" xfId="0"/>
    <xf numFmtId="0" fontId="0" fillId="0" borderId="0" applyAlignment="1" pivotButton="0" quotePrefix="0" xfId="0">
      <alignment wrapText="1"/>
    </xf>
    <xf numFmtId="0" fontId="11" fillId="0" borderId="0" pivotButton="0" quotePrefix="0" xfId="0"/>
    <xf numFmtId="0" fontId="9" fillId="0" borderId="0" pivotButton="0" quotePrefix="0" xfId="0"/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164" fontId="8" fillId="0" borderId="0" pivotButton="0" quotePrefix="0" xfId="0"/>
    <xf numFmtId="166" fontId="0" fillId="0" borderId="0" pivotButton="0" quotePrefix="0" xfId="0"/>
    <xf numFmtId="2" fontId="0" fillId="0" borderId="0" pivotButton="0" quotePrefix="0" xfId="0"/>
    <xf numFmtId="164" fontId="9" fillId="0" borderId="0" pivotButton="0" quotePrefix="0" xfId="0"/>
    <xf numFmtId="0" fontId="10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Break-even runs vs rental $/job</a:t>
            </a:r>
          </a:p>
        </rich>
      </tx>
    </title>
    <plotArea>
      <lineChart>
        <grouping val="standard"/>
        <ser>
          <idx val="0"/>
          <order val="0"/>
          <tx>
            <strRef>
              <f>'BreakEven'!B12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'BreakEven'!$A$13:$A$27</f>
            </numRef>
          </cat>
          <val>
            <numRef>
              <f>'BreakEven'!$B$13:$B$27</f>
            </numRef>
          </val>
        </ser>
        <ser>
          <idx val="1"/>
          <order val="1"/>
          <tx>
            <strRef>
              <f>'BreakEven'!C12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'BreakEven'!$A$13:$A$27</f>
            </numRef>
          </cat>
          <val>
            <numRef>
              <f>'BreakEven'!$C$13:$C$27</f>
            </numRef>
          </val>
        </ser>
        <ser>
          <idx val="2"/>
          <order val="2"/>
          <tx>
            <strRef>
              <f>'BreakEven'!D12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'BreakEven'!$A$13:$A$27</f>
            </numRef>
          </cat>
          <val>
            <numRef>
              <f>'BreakEven'!$D$13:$D$27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$ per training run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Runs to break even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Cumulative 5-year cash TCO</a:t>
            </a:r>
          </a:p>
        </rich>
      </tx>
    </title>
    <plotArea>
      <lineChart>
        <grouping val="standard"/>
        <ser>
          <idx val="0"/>
          <order val="0"/>
          <tx>
            <strRef>
              <f>'TCO_Curves'!B6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'TCO_Curves'!$A$7:$A$12</f>
            </numRef>
          </cat>
          <val>
            <numRef>
              <f>'TCO_Curves'!$B$7:$B$12</f>
            </numRef>
          </val>
        </ser>
        <ser>
          <idx val="1"/>
          <order val="1"/>
          <tx>
            <strRef>
              <f>'TCO_Curves'!C6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'TCO_Curves'!$A$7:$A$12</f>
            </numRef>
          </cat>
          <val>
            <numRef>
              <f>'TCO_Curves'!$C$7:$C$12</f>
            </numRef>
          </val>
        </ser>
        <ser>
          <idx val="2"/>
          <order val="2"/>
          <tx>
            <strRef>
              <f>'TCO_Curves'!D6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'TCO_Curves'!$A$7:$A$12</f>
            </numRef>
          </cat>
          <val>
            <numRef>
              <f>'TCO_Curves'!$D$7:$D$12</f>
            </numRef>
          </val>
        </ser>
        <ser>
          <idx val="3"/>
          <order val="3"/>
          <tx>
            <strRef>
              <f>'TCO_Curves'!E6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'TCO_Curves'!$A$7:$A$12</f>
            </numRef>
          </cat>
          <val>
            <numRef>
              <f>'TCO_Curves'!$E$7:$E$12</f>
            </numRef>
          </val>
        </ser>
        <ser>
          <idx val="4"/>
          <order val="4"/>
          <tx>
            <strRef>
              <f>'TCO_Curves'!F6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'TCO_Curves'!$A$7:$A$12</f>
            </numRef>
          </cat>
          <val>
            <numRef>
              <f>'TCO_Curves'!$F$7:$F$12</f>
            </numRef>
          </val>
        </ser>
        <ser>
          <idx val="5"/>
          <order val="5"/>
          <tx>
            <strRef>
              <f>'TCO_Curves'!G6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'TCO_Curves'!$A$7:$A$12</f>
            </numRef>
          </cat>
          <val>
            <numRef>
              <f>'TCO_Curves'!$G$7:$G$12</f>
            </numRef>
          </val>
        </ser>
        <ser>
          <idx val="6"/>
          <order val="6"/>
          <tx>
            <strRef>
              <f>'TCO_Curves'!H6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'TCO_Curves'!$A$7:$A$12</f>
            </numRef>
          </cat>
          <val>
            <numRef>
              <f>'TCO_Curves'!$H$7:$H$12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Cumulative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5yr adjusted: Rent+risk vs Lab5k−sov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'Adjusted_TCO'!C7</f>
            </strRef>
          </tx>
          <spPr>
            <a:ln>
              <a:prstDash val="solid"/>
            </a:ln>
          </spPr>
          <cat>
            <numRef>
              <f>'Adjusted_TCO'!$A$8:$A$11</f>
            </numRef>
          </cat>
          <val>
            <numRef>
              <f>'Adjusted_TCO'!$C$8:$C$11</f>
            </numRef>
          </val>
        </ser>
        <ser>
          <idx val="1"/>
          <order val="1"/>
          <tx>
            <strRef>
              <f>'Adjusted_TCO'!D7</f>
            </strRef>
          </tx>
          <spPr>
            <a:ln>
              <a:prstDash val="solid"/>
            </a:ln>
          </spPr>
          <cat>
            <numRef>
              <f>'Adjusted_TCO'!$A$8:$A$11</f>
            </numRef>
          </cat>
          <val>
            <numRef>
              <f>'Adjusted_TCO'!$D$8:$D$11</f>
            </numRef>
          </val>
        </ser>
        <ser>
          <idx val="2"/>
          <order val="2"/>
          <tx>
            <strRef>
              <f>'Adjusted_TCO'!E7</f>
            </strRef>
          </tx>
          <spPr>
            <a:ln>
              <a:prstDash val="solid"/>
            </a:ln>
          </spPr>
          <cat>
            <numRef>
              <f>'Adjusted_TCO'!$A$8:$A$11</f>
            </numRef>
          </cat>
          <val>
            <numRef>
              <f>'Adjusted_TCO'!$E$8:$E$11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36" customWidth="1" min="5" max="5"/>
    <col width="18" customWidth="1" min="6" max="6"/>
  </cols>
  <sheetData>
    <row r="1">
      <c r="A1" s="1" t="inlineStr">
        <is>
          <t>Sovereign Mirror — Compute Cost Curves</t>
        </is>
      </c>
    </row>
    <row r="2">
      <c r="A2" s="2" t="inlineStr">
        <is>
          <t>Analyst model: Local lab vs GPU rental (GSTD-class / cloud). Blue/yellow = inputs. All other values are formulas.</t>
        </is>
      </c>
    </row>
    <row r="4">
      <c r="A4" s="3" t="inlineStr">
        <is>
          <t>1. LOCAL LAB CAPEX SCENARIOS</t>
        </is>
      </c>
    </row>
    <row r="5">
      <c r="A5" s="4" t="inlineStr">
        <is>
          <t>Scenario</t>
        </is>
      </c>
      <c r="B5" s="4" t="inlineStr">
        <is>
          <t>Capex ($)</t>
        </is>
      </c>
      <c r="C5" s="4" t="inlineStr">
        <is>
          <t>Annual power/ops ($)</t>
        </is>
      </c>
      <c r="D5" s="4" t="inlineStr">
        <is>
          <t>Useful life (yrs)</t>
        </is>
      </c>
      <c r="E5" s="4" t="inlineStr">
        <is>
          <t>Annualized capex ($/yr)</t>
        </is>
      </c>
      <c r="F5" s="4" t="inlineStr">
        <is>
          <t>Fully loaded yr cost ($)</t>
        </is>
      </c>
    </row>
    <row r="6">
      <c r="A6" s="5" t="inlineStr">
        <is>
          <t>Lab_5k</t>
        </is>
      </c>
      <c r="B6" s="6" t="n">
        <v>5000</v>
      </c>
      <c r="C6" s="6" t="n">
        <v>250</v>
      </c>
      <c r="D6" s="7" t="n">
        <v>4</v>
      </c>
      <c r="E6" s="8">
        <f>B6/D6</f>
        <v/>
      </c>
      <c r="F6" s="8">
        <f>E6+C6</f>
        <v/>
      </c>
    </row>
    <row r="7">
      <c r="A7" s="5" t="inlineStr">
        <is>
          <t>Lab_15k</t>
        </is>
      </c>
      <c r="B7" s="6" t="n">
        <v>15000</v>
      </c>
      <c r="C7" s="6" t="n">
        <v>400</v>
      </c>
      <c r="D7" s="7" t="n">
        <v>4</v>
      </c>
      <c r="E7" s="8">
        <f>B7/D7</f>
        <v/>
      </c>
      <c r="F7" s="8">
        <f>E7+C7</f>
        <v/>
      </c>
    </row>
    <row r="8">
      <c r="A8" s="5" t="inlineStr">
        <is>
          <t>Lab_25k</t>
        </is>
      </c>
      <c r="B8" s="6" t="n">
        <v>25000</v>
      </c>
      <c r="C8" s="6" t="n">
        <v>550</v>
      </c>
      <c r="D8" s="7" t="n">
        <v>4</v>
      </c>
      <c r="E8" s="8">
        <f>B8/D8</f>
        <v/>
      </c>
      <c r="F8" s="8">
        <f>E8+C8</f>
        <v/>
      </c>
    </row>
    <row r="10">
      <c r="A10" s="3" t="inlineStr">
        <is>
          <t>2. RENTAL COST PER TRAINING RUN ($/job)</t>
        </is>
      </c>
    </row>
    <row r="11">
      <c r="A11" s="4" t="inlineStr">
        <is>
          <t>Job profile</t>
        </is>
      </c>
      <c r="B11" s="4" t="inlineStr">
        <is>
          <t>GSTD / decen. net ($)</t>
        </is>
      </c>
      <c r="C11" s="4" t="inlineStr">
        <is>
          <t>Commodity cloud ($)</t>
        </is>
      </c>
      <c r="D11" s="4" t="inlineStr">
        <is>
          <t>Blended rental ($)</t>
        </is>
      </c>
      <c r="E11" s="4" t="inlineStr">
        <is>
          <t>Notes</t>
        </is>
      </c>
    </row>
    <row r="12">
      <c r="A12" t="inlineStr">
        <is>
          <t>QLoRA_7B_14B</t>
        </is>
      </c>
      <c r="B12" s="6" t="n">
        <v>15</v>
      </c>
      <c r="C12" s="6" t="n">
        <v>25</v>
      </c>
      <c r="D12" s="8">
        <f>ROUND((B12+C12)/2,0)</f>
        <v/>
      </c>
      <c r="E12" s="9" t="inlineStr">
        <is>
          <t>Starter mirror iterate</t>
        </is>
      </c>
    </row>
    <row r="13">
      <c r="A13" t="inlineStr">
        <is>
          <t>QLoRA_32B</t>
        </is>
      </c>
      <c r="B13" s="6" t="n">
        <v>60</v>
      </c>
      <c r="C13" s="6" t="n">
        <v>100</v>
      </c>
      <c r="D13" s="8">
        <f>ROUND((B13+C13)/2,0)</f>
        <v/>
      </c>
      <c r="E13" s="9" t="inlineStr">
        <is>
          <t>Athena-class scale</t>
        </is>
      </c>
    </row>
    <row r="14">
      <c r="A14" t="inlineStr">
        <is>
          <t>QLoRA_70B_or_long</t>
        </is>
      </c>
      <c r="B14" s="6" t="n">
        <v>150</v>
      </c>
      <c r="C14" s="6" t="n">
        <v>250</v>
      </c>
      <c r="D14" s="8">
        <f>ROUND((B14+C14)/2,0)</f>
        <v/>
      </c>
      <c r="E14" s="9" t="inlineStr">
        <is>
          <t>Burst / research</t>
        </is>
      </c>
    </row>
    <row r="15">
      <c r="A15" t="inlineStr">
        <is>
          <t>Infer_month_heavy</t>
        </is>
      </c>
      <c r="B15" s="6" t="n">
        <v>40</v>
      </c>
      <c r="C15" s="6" t="n">
        <v>60</v>
      </c>
      <c r="D15" s="8">
        <f>ROUND((B15+C15)/2,0)</f>
        <v/>
      </c>
      <c r="E15" s="9" t="inlineStr">
        <is>
          <t>Always-on rented infer equiv</t>
        </is>
      </c>
    </row>
    <row r="17">
      <c r="A17" s="3" t="inlineStr">
        <is>
          <t>3. USAGE INTENSITY (runs / year of primary job)</t>
        </is>
      </c>
    </row>
    <row r="18">
      <c r="A18" s="4" t="inlineStr">
        <is>
          <t>Intensity</t>
        </is>
      </c>
      <c r="B18" s="4" t="inlineStr">
        <is>
          <t>Runs/year</t>
        </is>
      </c>
      <c r="C18" s="4" t="inlineStr">
        <is>
          <t>Description</t>
        </is>
      </c>
    </row>
    <row r="19">
      <c r="A19" t="inlineStr">
        <is>
          <t>Sparse</t>
        </is>
      </c>
      <c r="B19" s="7" t="n">
        <v>4</v>
      </c>
      <c r="C19" t="inlineStr">
        <is>
          <t>Quarterly retrain / experiments</t>
        </is>
      </c>
    </row>
    <row r="20">
      <c r="A20" t="inlineStr">
        <is>
          <t>Moderate</t>
        </is>
      </c>
      <c r="B20" s="7" t="n">
        <v>24</v>
      </c>
      <c r="C20" t="inlineStr">
        <is>
          <t>Twice monthly iteration</t>
        </is>
      </c>
    </row>
    <row r="21">
      <c r="A21" t="inlineStr">
        <is>
          <t>Heavy</t>
        </is>
      </c>
      <c r="B21" s="7" t="n">
        <v>52</v>
      </c>
      <c r="C21" t="inlineStr">
        <is>
          <t>Weekly train cycle</t>
        </is>
      </c>
    </row>
    <row r="22">
      <c r="A22" t="inlineStr">
        <is>
          <t>Industrial</t>
        </is>
      </c>
      <c r="B22" s="7" t="n">
        <v>120</v>
      </c>
      <c r="C22" t="inlineStr">
        <is>
          <t>Near-continuous R&amp;D</t>
        </is>
      </c>
    </row>
    <row r="24">
      <c r="A24" s="3" t="inlineStr">
        <is>
          <t>4. GLOBAL CONTROLS</t>
        </is>
      </c>
    </row>
    <row r="25">
      <c r="A25" t="inlineStr">
        <is>
          <t>Primary job profile row (12=7B, 13=32B, 14=70B)</t>
        </is>
      </c>
      <c r="B25" s="7" t="n">
        <v>13</v>
      </c>
    </row>
    <row r="26">
      <c r="A26" t="inlineStr">
        <is>
          <t>Horizon years for TCO</t>
        </is>
      </c>
      <c r="B26" s="7" t="n">
        <v>5</v>
      </c>
    </row>
    <row r="27">
      <c r="A27" t="inlineStr">
        <is>
          <t>Discount rate (reference)</t>
        </is>
      </c>
      <c r="B27" s="10" t="n">
        <v>0.08</v>
      </c>
    </row>
    <row r="28">
      <c r="A28" t="inlineStr">
        <is>
          <t>Sovereignty premium ($/yr value of local control)</t>
        </is>
      </c>
      <c r="B28" s="6" t="n">
        <v>500</v>
      </c>
    </row>
    <row r="29">
      <c r="A29" t="inlineStr">
        <is>
          <t>Data-risk penalty for rental ($/yr)</t>
        </is>
      </c>
      <c r="B29" s="6" t="n">
        <v>300</v>
      </c>
    </row>
    <row r="31">
      <c r="A31" s="3" t="inlineStr">
        <is>
          <t>Sources / methodology</t>
        </is>
      </c>
    </row>
    <row r="32">
      <c r="A32" s="11" t="inlineStr">
        <is>
          <t>Capex: project lab BOM tiers ($5k/$15k/$25k). Rental: illustrative mid-2026 GPU market ranges for QLoRA-class jobs (commodity cloud + decentralized nets). NOT an official GSTD tariff — replace yellow cells with live quotes. Power: ~$0.12–0.20/kWh duty cycle estimate. Sovereignty/risk adders are explicit judgment parameters for adjusted TCO.</t>
        </is>
      </c>
    </row>
    <row r="33"/>
    <row r="34"/>
  </sheetData>
  <mergeCells count="3">
    <mergeCell ref="A2:F2"/>
    <mergeCell ref="A1:F1"/>
    <mergeCell ref="A32:F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8" customWidth="1" min="1" max="1"/>
    <col width="42" customWidth="1" min="2" max="2"/>
    <col width="78" customWidth="1" min="3" max="3"/>
  </cols>
  <sheetData>
    <row r="1">
      <c r="A1" s="1" t="inlineStr">
        <is>
          <t>Executive findings — Compute cost-benefit (Sovereign Mirror)</t>
        </is>
      </c>
    </row>
    <row r="2">
      <c r="A2" s="12" t="inlineStr">
        <is>
          <t>Decision support | Operator: build lab vs rent GSTD/cloud | Horizon: 5 years | Open model: recompute when yellow inputs change</t>
        </is>
      </c>
    </row>
    <row r="4">
      <c r="A4" s="4" t="inlineStr">
        <is>
          <t>ID</t>
        </is>
      </c>
      <c r="B4" s="4" t="inlineStr">
        <is>
          <t>Finding</t>
        </is>
      </c>
      <c r="C4" s="4" t="inlineStr">
        <is>
          <t>Detail</t>
        </is>
      </c>
    </row>
    <row r="5" ht="58" customHeight="1">
      <c r="A5" s="13" t="inlineStr">
        <is>
          <t>F1</t>
        </is>
      </c>
      <c r="B5" s="14" t="inlineStr">
        <is>
          <t>Cash break-even is intensity-driven</t>
        </is>
      </c>
      <c r="C5" s="15" t="inlineStr">
        <is>
          <t>At default ~$80/job (32B blended), Lab_5k needs ~62 runs to recover capex. That is ~15.6 yrs at Sparse (4/yr), ~2.6 yrs Moderate (24/yr), ~1.2 yrs Heavy (52/yr), ~0.5 yrs Industrial (120/yr). Ownership is not always cheaper — it is cheaper when you iterate.</t>
        </is>
      </c>
    </row>
    <row r="6" ht="58" customHeight="1">
      <c r="A6" s="13" t="inlineStr">
        <is>
          <t>F2</t>
        </is>
      </c>
      <c r="B6" s="14" t="inlineStr">
        <is>
          <t>Sparse training favors rental / GSTD-class nets</t>
        </is>
      </c>
      <c r="C6" s="15" t="inlineStr">
        <is>
          <t>Few trains per year while learning scaffolds: pay-per-job dominates $5–25k capex. Capital stays liquid; silicon is not idle. GSTD competes with cloud on $/hr — not free.</t>
        </is>
      </c>
    </row>
    <row r="7" ht="58" customHeight="1">
      <c r="A7" s="13" t="inlineStr">
        <is>
          <t>F3</t>
        </is>
      </c>
      <c r="B7" s="14" t="inlineStr">
        <is>
          <t>Moderate-to-heavy iteration flips to OWN on cash alone</t>
        </is>
      </c>
      <c r="C7" s="15" t="inlineStr">
        <is>
          <t>Weekly / twice-monthly QLoRA (living sovereign mirror) tends to make Lab_5k cheaper over 5 years than renting equivalent jobs, before any sovereignty premium.</t>
        </is>
      </c>
    </row>
    <row r="8" ht="58" customHeight="1">
      <c r="A8" s="13" t="inlineStr">
        <is>
          <t>F4</t>
        </is>
      </c>
      <c r="B8" s="14" t="inlineStr">
        <is>
          <t>Lab_15k / Lab_25k need heavier use or non-cash value</t>
        </is>
      </c>
      <c r="C8" s="15" t="inlineStr">
        <is>
          <t>Larger labs clear pure cash break-even only at high run rates or expensive jobs (70B). Buy up for 32B+ headroom / multi-experiment — not status.</t>
        </is>
      </c>
    </row>
    <row r="9" ht="58" customHeight="1">
      <c r="A9" s="13" t="inlineStr">
        <is>
          <t>F5</t>
        </is>
      </c>
      <c r="B9" s="14" t="inlineStr">
        <is>
          <t>Adjusted TCO shifts frontier toward OWN</t>
        </is>
      </c>
      <c r="C9" s="15" t="inlineStr">
        <is>
          <t>Modest $/yr for (a) not uploading rope and (b) offline/no-token control moves several Moderate cases from RENT to OWN. Set shadow prices explicitly (Assumptions B28–B29).</t>
        </is>
      </c>
    </row>
    <row r="10" ht="58" customHeight="1">
      <c r="A10" s="13" t="inlineStr">
        <is>
          <t>F6</t>
        </is>
      </c>
      <c r="B10" s="14" t="inlineStr">
        <is>
          <t>GSTD is not free compute</t>
        </is>
      </c>
      <c r="C10" s="15" t="inlineStr">
        <is>
          <t>Decentralized nets still price GPU time. Prefer when cheaper AND capable of custom LoRA + private datasets. Pure consumption = cloud with a token skin; running a node is different.</t>
        </is>
      </c>
    </row>
    <row r="11" ht="58" customHeight="1">
      <c r="A11" s="13" t="inlineStr">
        <is>
          <t>F7</t>
        </is>
      </c>
      <c r="B11" s="14" t="inlineStr">
        <is>
          <t>Optimal policy is hybrid</t>
        </is>
      </c>
      <c r="C11" s="15" t="inlineStr">
        <is>
          <t>(1) $0 craft; (2) $50–300 proof job; (3) Lab_5k when intensity approaches Moderate; (4) rent 70B bursts; (5) delay Lab_15/25 until 32B is routine. Minimizes regret under uncertain train frequency.</t>
        </is>
      </c>
    </row>
    <row r="12" ht="58" customHeight="1">
      <c r="A12" s="13" t="inlineStr">
        <is>
          <t>F8</t>
        </is>
      </c>
      <c r="B12" s="14" t="inlineStr">
        <is>
          <t>Dominant sensitivity is $/job</t>
        </is>
      </c>
      <c r="C12" s="15" t="inlineStr">
        <is>
          <t>If rental falls to $15/job, even Heavy use delays $25k justification. If $150+/job, Lab_5k wins quickly. Re-quote yellow cells; all curves recompute.</t>
        </is>
      </c>
    </row>
    <row r="14">
      <c r="A14" s="3" t="inlineStr">
        <is>
          <t>RECOMMENDATION MATRIX</t>
        </is>
      </c>
    </row>
    <row r="15">
      <c r="A15" s="4" t="inlineStr">
        <is>
          <t>If expected runs/year…</t>
        </is>
      </c>
      <c r="B15" s="4" t="inlineStr">
        <is>
          <t>Primary</t>
        </is>
      </c>
      <c r="C15" s="4" t="inlineStr">
        <is>
          <t>Secondary</t>
        </is>
      </c>
    </row>
    <row r="16">
      <c r="A16" t="inlineStr">
        <is>
          <t>≤ 6 (Sparse)</t>
        </is>
      </c>
      <c r="B16" t="inlineStr">
        <is>
          <t>RENT / GSTD for trains</t>
        </is>
      </c>
      <c r="C16" t="inlineStr">
        <is>
          <t>No lab until intensity proven</t>
        </is>
      </c>
    </row>
    <row r="17">
      <c r="A17" t="inlineStr">
        <is>
          <t>12–30 (Moderate)</t>
        </is>
      </c>
      <c r="B17" t="inlineStr">
        <is>
          <t>Lab_5k within 12 months</t>
        </is>
      </c>
      <c r="C17" t="inlineStr">
        <is>
          <t>Rent for 70B bursts only</t>
        </is>
      </c>
    </row>
    <row r="18">
      <c r="A18" t="inlineStr">
        <is>
          <t>40–60 (Heavy)</t>
        </is>
      </c>
      <c r="B18" t="inlineStr">
        <is>
          <t>Lab_5k now; plan 2nd GPU</t>
        </is>
      </c>
      <c r="C18" t="inlineStr">
        <is>
          <t>GSTD only if cheaper than power+time</t>
        </is>
      </c>
    </row>
    <row r="19">
      <c r="A19" t="inlineStr">
        <is>
          <t>100+ (Industrial)</t>
        </is>
      </c>
      <c r="B19" t="inlineStr">
        <is>
          <t>Lab_15k–25k path</t>
        </is>
      </c>
      <c r="C19" t="inlineStr">
        <is>
          <t>Hybrid multi-node / supply-side GSTD</t>
        </is>
      </c>
    </row>
    <row r="21">
      <c r="A21" s="3" t="inlineStr">
        <is>
          <t>DECISION RULE</t>
        </is>
      </c>
    </row>
    <row r="22">
      <c r="A22" s="14" t="inlineStr">
        <is>
          <t>OWN if: (Runs/yr × $/run × Years) + Risk$/yr×Years  &gt;  Capex + Ops×Years − Sov$/yr×Years</t>
        </is>
      </c>
    </row>
    <row r="23">
      <c r="A23" s="12" t="inlineStr">
        <is>
          <t>Else RENT. Recompute when any yellow input changes. See BreakEven + TCO_Curves sheets.</t>
        </is>
      </c>
    </row>
    <row r="25">
      <c r="A25" s="3" t="inlineStr">
        <is>
          <t>ILLUSTRATIVE POINT ESTIMATES (default assumptions, 32B job ~$80)</t>
        </is>
      </c>
    </row>
    <row r="26">
      <c r="A26" s="4" t="inlineStr">
        <is>
          <t>Metric</t>
        </is>
      </c>
      <c r="B26" s="4" t="inlineStr">
        <is>
          <t>Value</t>
        </is>
      </c>
    </row>
    <row r="27">
      <c r="A27" t="inlineStr">
        <is>
          <t>Lab_5k break-even runs @ $80/job</t>
        </is>
      </c>
      <c r="B27" s="13" t="inlineStr">
        <is>
          <t>62.5</t>
        </is>
      </c>
    </row>
    <row r="28">
      <c r="A28" t="inlineStr">
        <is>
          <t>5yr Sparse rent (4×$80×5)</t>
        </is>
      </c>
      <c r="B28" s="13" t="inlineStr">
        <is>
          <t>$1,600</t>
        </is>
      </c>
    </row>
    <row r="29">
      <c r="A29" t="inlineStr">
        <is>
          <t>5yr Moderate rent (24×$80×5)</t>
        </is>
      </c>
      <c r="B29" s="13" t="inlineStr">
        <is>
          <t>$9,600</t>
        </is>
      </c>
    </row>
    <row r="30">
      <c r="A30" t="inlineStr">
        <is>
          <t>5yr Heavy rent (52×$80×5)</t>
        </is>
      </c>
      <c r="B30" s="13" t="inlineStr">
        <is>
          <t>$20,800</t>
        </is>
      </c>
    </row>
    <row r="31">
      <c r="A31" t="inlineStr">
        <is>
          <t>5yr Lab_5k cash (5k+5×250)</t>
        </is>
      </c>
      <c r="B31" s="13" t="inlineStr">
        <is>
          <t>$6,250</t>
        </is>
      </c>
    </row>
    <row r="32">
      <c r="A32" t="inlineStr">
        <is>
          <t>Cash winner Sparse</t>
        </is>
      </c>
      <c r="B32" s="13" t="inlineStr">
        <is>
          <t>RENT (save ~$4.6k)</t>
        </is>
      </c>
    </row>
    <row r="33">
      <c r="A33" t="inlineStr">
        <is>
          <t>Cash winner Moderate</t>
        </is>
      </c>
      <c r="B33" s="13" t="inlineStr">
        <is>
          <t>OWN (save ~$3.4k)</t>
        </is>
      </c>
    </row>
    <row r="34">
      <c r="A34" t="inlineStr">
        <is>
          <t>Cash winner Heavy</t>
        </is>
      </c>
      <c r="B34" s="13" t="inlineStr">
        <is>
          <t>OWN (save ~$14.6k)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Break-even analysis — rental vs local lab</t>
        </is>
      </c>
    </row>
    <row r="2">
      <c r="A2" s="2" t="inlineStr">
        <is>
          <t>Break-even runs = Capex / ($/run). Below that run count, rent wins on cash; above, own wins.</t>
        </is>
      </c>
    </row>
    <row r="4">
      <c r="A4" t="inlineStr">
        <is>
          <t>Primary job $/run (blended, from Assumptions)</t>
        </is>
      </c>
      <c r="B4" s="16">
        <f>INDEX(Assumptions!D12:D15,Assumptions!B25-11)</f>
        <v/>
      </c>
    </row>
    <row r="6">
      <c r="A6" s="4" t="inlineStr">
        <is>
          <t>Lab scenario</t>
        </is>
      </c>
      <c r="B6" s="4" t="inlineStr">
        <is>
          <t>Capex</t>
        </is>
      </c>
      <c r="C6" s="4" t="inlineStr">
        <is>
          <t>$/run</t>
        </is>
      </c>
      <c r="D6" s="4" t="inlineStr">
        <is>
          <t>Break-even runs</t>
        </is>
      </c>
      <c r="E6" s="4" t="inlineStr">
        <is>
          <t>Yrs @ Sparse(4)</t>
        </is>
      </c>
      <c r="F6" s="4" t="inlineStr">
        <is>
          <t>Yrs @ Moderate(24)</t>
        </is>
      </c>
      <c r="G6" s="4" t="inlineStr">
        <is>
          <t>Yrs @ Heavy(52)</t>
        </is>
      </c>
      <c r="H6" s="4" t="inlineStr">
        <is>
          <t>Yrs @ Industrial(120)</t>
        </is>
      </c>
    </row>
    <row r="7">
      <c r="A7">
        <f>Assumptions!A6</f>
        <v/>
      </c>
      <c r="B7" s="8">
        <f>Assumptions!B6</f>
        <v/>
      </c>
      <c r="C7" s="8">
        <f>$B$4</f>
        <v/>
      </c>
      <c r="D7" s="17">
        <f>IF(C7=0,0,B7/C7)</f>
        <v/>
      </c>
      <c r="E7" s="18">
        <f>D7/Assumptions!$B$19</f>
        <v/>
      </c>
      <c r="F7" s="18">
        <f>D7/Assumptions!$B$20</f>
        <v/>
      </c>
      <c r="G7" s="18">
        <f>D7/Assumptions!$B$21</f>
        <v/>
      </c>
      <c r="H7" s="18">
        <f>D7/Assumptions!$B$22</f>
        <v/>
      </c>
    </row>
    <row r="8">
      <c r="A8">
        <f>Assumptions!A7</f>
        <v/>
      </c>
      <c r="B8" s="8">
        <f>Assumptions!B7</f>
        <v/>
      </c>
      <c r="C8" s="8">
        <f>$B$4</f>
        <v/>
      </c>
      <c r="D8" s="17">
        <f>IF(C8=0,0,B8/C8)</f>
        <v/>
      </c>
      <c r="E8" s="18">
        <f>D8/Assumptions!$B$19</f>
        <v/>
      </c>
      <c r="F8" s="18">
        <f>D8/Assumptions!$B$20</f>
        <v/>
      </c>
      <c r="G8" s="18">
        <f>D8/Assumptions!$B$21</f>
        <v/>
      </c>
      <c r="H8" s="18">
        <f>D8/Assumptions!$B$22</f>
        <v/>
      </c>
    </row>
    <row r="9">
      <c r="A9">
        <f>Assumptions!A8</f>
        <v/>
      </c>
      <c r="B9" s="8">
        <f>Assumptions!B8</f>
        <v/>
      </c>
      <c r="C9" s="8">
        <f>$B$4</f>
        <v/>
      </c>
      <c r="D9" s="17">
        <f>IF(C9=0,0,B9/C9)</f>
        <v/>
      </c>
      <c r="E9" s="18">
        <f>D9/Assumptions!$B$19</f>
        <v/>
      </c>
      <c r="F9" s="18">
        <f>D9/Assumptions!$B$20</f>
        <v/>
      </c>
      <c r="G9" s="18">
        <f>D9/Assumptions!$B$21</f>
        <v/>
      </c>
      <c r="H9" s="18">
        <f>D9/Assumptions!$B$22</f>
        <v/>
      </c>
    </row>
    <row r="11">
      <c r="A11" s="3" t="inlineStr">
        <is>
          <t>Sensitivity: break-even runs vs $/run</t>
        </is>
      </c>
    </row>
    <row r="12">
      <c r="A12" s="4" t="inlineStr">
        <is>
          <t>$/run</t>
        </is>
      </c>
      <c r="B12" s="4" t="inlineStr">
        <is>
          <t>BE Lab_5k</t>
        </is>
      </c>
      <c r="C12" s="4" t="inlineStr">
        <is>
          <t>BE Lab_15k</t>
        </is>
      </c>
      <c r="D12" s="4" t="inlineStr">
        <is>
          <t>BE Lab_25k</t>
        </is>
      </c>
    </row>
    <row r="13">
      <c r="A13" s="6" t="n">
        <v>5</v>
      </c>
      <c r="B13" s="17">
        <f>Assumptions!$B$6/A13</f>
        <v/>
      </c>
      <c r="C13" s="17">
        <f>Assumptions!$B$7/A13</f>
        <v/>
      </c>
      <c r="D13" s="17">
        <f>Assumptions!$B$8/A13</f>
        <v/>
      </c>
    </row>
    <row r="14">
      <c r="A14" s="6" t="n">
        <v>10</v>
      </c>
      <c r="B14" s="17">
        <f>Assumptions!$B$6/A14</f>
        <v/>
      </c>
      <c r="C14" s="17">
        <f>Assumptions!$B$7/A14</f>
        <v/>
      </c>
      <c r="D14" s="17">
        <f>Assumptions!$B$8/A14</f>
        <v/>
      </c>
    </row>
    <row r="15">
      <c r="A15" s="6" t="n">
        <v>15</v>
      </c>
      <c r="B15" s="17">
        <f>Assumptions!$B$6/A15</f>
        <v/>
      </c>
      <c r="C15" s="17">
        <f>Assumptions!$B$7/A15</f>
        <v/>
      </c>
      <c r="D15" s="17">
        <f>Assumptions!$B$8/A15</f>
        <v/>
      </c>
    </row>
    <row r="16">
      <c r="A16" s="6" t="n">
        <v>20</v>
      </c>
      <c r="B16" s="17">
        <f>Assumptions!$B$6/A16</f>
        <v/>
      </c>
      <c r="C16" s="17">
        <f>Assumptions!$B$7/A16</f>
        <v/>
      </c>
      <c r="D16" s="17">
        <f>Assumptions!$B$8/A16</f>
        <v/>
      </c>
    </row>
    <row r="17">
      <c r="A17" s="6" t="n">
        <v>25</v>
      </c>
      <c r="B17" s="17">
        <f>Assumptions!$B$6/A17</f>
        <v/>
      </c>
      <c r="C17" s="17">
        <f>Assumptions!$B$7/A17</f>
        <v/>
      </c>
      <c r="D17" s="17">
        <f>Assumptions!$B$8/A17</f>
        <v/>
      </c>
    </row>
    <row r="18">
      <c r="A18" s="6" t="n">
        <v>30</v>
      </c>
      <c r="B18" s="17">
        <f>Assumptions!$B$6/A18</f>
        <v/>
      </c>
      <c r="C18" s="17">
        <f>Assumptions!$B$7/A18</f>
        <v/>
      </c>
      <c r="D18" s="17">
        <f>Assumptions!$B$8/A18</f>
        <v/>
      </c>
    </row>
    <row r="19">
      <c r="A19" s="6" t="n">
        <v>40</v>
      </c>
      <c r="B19" s="17">
        <f>Assumptions!$B$6/A19</f>
        <v/>
      </c>
      <c r="C19" s="17">
        <f>Assumptions!$B$7/A19</f>
        <v/>
      </c>
      <c r="D19" s="17">
        <f>Assumptions!$B$8/A19</f>
        <v/>
      </c>
    </row>
    <row r="20">
      <c r="A20" s="6" t="n">
        <v>50</v>
      </c>
      <c r="B20" s="17">
        <f>Assumptions!$B$6/A20</f>
        <v/>
      </c>
      <c r="C20" s="17">
        <f>Assumptions!$B$7/A20</f>
        <v/>
      </c>
      <c r="D20" s="17">
        <f>Assumptions!$B$8/A20</f>
        <v/>
      </c>
    </row>
    <row r="21">
      <c r="A21" s="6" t="n">
        <v>60</v>
      </c>
      <c r="B21" s="17">
        <f>Assumptions!$B$6/A21</f>
        <v/>
      </c>
      <c r="C21" s="17">
        <f>Assumptions!$B$7/A21</f>
        <v/>
      </c>
      <c r="D21" s="17">
        <f>Assumptions!$B$8/A21</f>
        <v/>
      </c>
    </row>
    <row r="22">
      <c r="A22" s="6" t="n">
        <v>75</v>
      </c>
      <c r="B22" s="17">
        <f>Assumptions!$B$6/A22</f>
        <v/>
      </c>
      <c r="C22" s="17">
        <f>Assumptions!$B$7/A22</f>
        <v/>
      </c>
      <c r="D22" s="17">
        <f>Assumptions!$B$8/A22</f>
        <v/>
      </c>
    </row>
    <row r="23">
      <c r="A23" s="6" t="n">
        <v>100</v>
      </c>
      <c r="B23" s="17">
        <f>Assumptions!$B$6/A23</f>
        <v/>
      </c>
      <c r="C23" s="17">
        <f>Assumptions!$B$7/A23</f>
        <v/>
      </c>
      <c r="D23" s="17">
        <f>Assumptions!$B$8/A23</f>
        <v/>
      </c>
    </row>
    <row r="24">
      <c r="A24" s="6" t="n">
        <v>125</v>
      </c>
      <c r="B24" s="17">
        <f>Assumptions!$B$6/A24</f>
        <v/>
      </c>
      <c r="C24" s="17">
        <f>Assumptions!$B$7/A24</f>
        <v/>
      </c>
      <c r="D24" s="17">
        <f>Assumptions!$B$8/A24</f>
        <v/>
      </c>
    </row>
    <row r="25">
      <c r="A25" s="6" t="n">
        <v>150</v>
      </c>
      <c r="B25" s="17">
        <f>Assumptions!$B$6/A25</f>
        <v/>
      </c>
      <c r="C25" s="17">
        <f>Assumptions!$B$7/A25</f>
        <v/>
      </c>
      <c r="D25" s="17">
        <f>Assumptions!$B$8/A25</f>
        <v/>
      </c>
    </row>
    <row r="26">
      <c r="A26" s="6" t="n">
        <v>175</v>
      </c>
      <c r="B26" s="17">
        <f>Assumptions!$B$6/A26</f>
        <v/>
      </c>
      <c r="C26" s="17">
        <f>Assumptions!$B$7/A26</f>
        <v/>
      </c>
      <c r="D26" s="17">
        <f>Assumptions!$B$8/A26</f>
        <v/>
      </c>
    </row>
    <row r="27">
      <c r="A27" s="6" t="n">
        <v>200</v>
      </c>
      <c r="B27" s="17">
        <f>Assumptions!$B$6/A27</f>
        <v/>
      </c>
      <c r="C27" s="17">
        <f>Assumptions!$B$7/A27</f>
        <v/>
      </c>
      <c r="D27" s="17">
        <f>Assumptions!$B$8/A27</f>
        <v/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5-year cumulative cash TCO curves</t>
        </is>
      </c>
    </row>
    <row r="2">
      <c r="A2" s="2" t="inlineStr">
        <is>
          <t>Year 0: lab = full capex, rent = $0. Later years: rent = cumulative jobs; lab = capex + cumulative ops.</t>
        </is>
      </c>
    </row>
    <row r="4">
      <c r="A4" t="inlineStr">
        <is>
          <t>Job $/run</t>
        </is>
      </c>
      <c r="B4" s="19">
        <f>INDEX(Assumptions!D12:D15,Assumptions!B25-11)</f>
        <v/>
      </c>
    </row>
    <row r="6">
      <c r="A6" s="4" t="inlineStr">
        <is>
          <t>Year</t>
        </is>
      </c>
      <c r="B6" s="4" t="inlineStr">
        <is>
          <t>Rent Sparse</t>
        </is>
      </c>
      <c r="C6" s="4" t="inlineStr">
        <is>
          <t>Rent Moderate</t>
        </is>
      </c>
      <c r="D6" s="4" t="inlineStr">
        <is>
          <t>Rent Heavy</t>
        </is>
      </c>
      <c r="E6" s="4" t="inlineStr">
        <is>
          <t>Rent Industrial</t>
        </is>
      </c>
      <c r="F6" s="4" t="inlineStr">
        <is>
          <t>Own Lab_5k</t>
        </is>
      </c>
      <c r="G6" s="4" t="inlineStr">
        <is>
          <t>Own Lab_15k</t>
        </is>
      </c>
      <c r="H6" s="4" t="inlineStr">
        <is>
          <t>Own Lab_25k</t>
        </is>
      </c>
    </row>
    <row r="7">
      <c r="A7" t="n">
        <v>0</v>
      </c>
      <c r="B7" s="8" t="n">
        <v>0</v>
      </c>
      <c r="C7" s="8" t="n">
        <v>0</v>
      </c>
      <c r="D7" s="8" t="n">
        <v>0</v>
      </c>
      <c r="E7" s="8" t="n">
        <v>0</v>
      </c>
      <c r="F7" s="8">
        <f>Assumptions!B6</f>
        <v/>
      </c>
      <c r="G7" s="8">
        <f>Assumptions!B7</f>
        <v/>
      </c>
      <c r="H7" s="8">
        <f>Assumptions!B8</f>
        <v/>
      </c>
    </row>
    <row r="8">
      <c r="A8" t="n">
        <v>1</v>
      </c>
      <c r="B8" s="8">
        <f>A8*Assumptions!$B$19*$B$4</f>
        <v/>
      </c>
      <c r="C8" s="8">
        <f>A8*Assumptions!$B$20*$B$4</f>
        <v/>
      </c>
      <c r="D8" s="8">
        <f>A8*Assumptions!$B$21*$B$4</f>
        <v/>
      </c>
      <c r="E8" s="8">
        <f>A8*Assumptions!$B$22*$B$4</f>
        <v/>
      </c>
      <c r="F8" s="8">
        <f>Assumptions!$B$6+A8*Assumptions!$C$6</f>
        <v/>
      </c>
      <c r="G8" s="8">
        <f>Assumptions!$B$7+A8*Assumptions!$C$7</f>
        <v/>
      </c>
      <c r="H8" s="8">
        <f>Assumptions!$B$8+A8*Assumptions!$C$8</f>
        <v/>
      </c>
    </row>
    <row r="9">
      <c r="A9" t="n">
        <v>2</v>
      </c>
      <c r="B9" s="8">
        <f>A9*Assumptions!$B$19*$B$4</f>
        <v/>
      </c>
      <c r="C9" s="8">
        <f>A9*Assumptions!$B$20*$B$4</f>
        <v/>
      </c>
      <c r="D9" s="8">
        <f>A9*Assumptions!$B$21*$B$4</f>
        <v/>
      </c>
      <c r="E9" s="8">
        <f>A9*Assumptions!$B$22*$B$4</f>
        <v/>
      </c>
      <c r="F9" s="8">
        <f>Assumptions!$B$6+A9*Assumptions!$C$6</f>
        <v/>
      </c>
      <c r="G9" s="8">
        <f>Assumptions!$B$7+A9*Assumptions!$C$7</f>
        <v/>
      </c>
      <c r="H9" s="8">
        <f>Assumptions!$B$8+A9*Assumptions!$C$8</f>
        <v/>
      </c>
    </row>
    <row r="10">
      <c r="A10" t="n">
        <v>3</v>
      </c>
      <c r="B10" s="8">
        <f>A10*Assumptions!$B$19*$B$4</f>
        <v/>
      </c>
      <c r="C10" s="8">
        <f>A10*Assumptions!$B$20*$B$4</f>
        <v/>
      </c>
      <c r="D10" s="8">
        <f>A10*Assumptions!$B$21*$B$4</f>
        <v/>
      </c>
      <c r="E10" s="8">
        <f>A10*Assumptions!$B$22*$B$4</f>
        <v/>
      </c>
      <c r="F10" s="8">
        <f>Assumptions!$B$6+A10*Assumptions!$C$6</f>
        <v/>
      </c>
      <c r="G10" s="8">
        <f>Assumptions!$B$7+A10*Assumptions!$C$7</f>
        <v/>
      </c>
      <c r="H10" s="8">
        <f>Assumptions!$B$8+A10*Assumptions!$C$8</f>
        <v/>
      </c>
    </row>
    <row r="11">
      <c r="A11" t="n">
        <v>4</v>
      </c>
      <c r="B11" s="8">
        <f>A11*Assumptions!$B$19*$B$4</f>
        <v/>
      </c>
      <c r="C11" s="8">
        <f>A11*Assumptions!$B$20*$B$4</f>
        <v/>
      </c>
      <c r="D11" s="8">
        <f>A11*Assumptions!$B$21*$B$4</f>
        <v/>
      </c>
      <c r="E11" s="8">
        <f>A11*Assumptions!$B$22*$B$4</f>
        <v/>
      </c>
      <c r="F11" s="8">
        <f>Assumptions!$B$6+A11*Assumptions!$C$6</f>
        <v/>
      </c>
      <c r="G11" s="8">
        <f>Assumptions!$B$7+A11*Assumptions!$C$7</f>
        <v/>
      </c>
      <c r="H11" s="8">
        <f>Assumptions!$B$8+A11*Assumptions!$C$8</f>
        <v/>
      </c>
    </row>
    <row r="12">
      <c r="A12" t="n">
        <v>5</v>
      </c>
      <c r="B12" s="8">
        <f>A12*Assumptions!$B$19*$B$4</f>
        <v/>
      </c>
      <c r="C12" s="8">
        <f>A12*Assumptions!$B$20*$B$4</f>
        <v/>
      </c>
      <c r="D12" s="8">
        <f>A12*Assumptions!$B$21*$B$4</f>
        <v/>
      </c>
      <c r="E12" s="8">
        <f>A12*Assumptions!$B$22*$B$4</f>
        <v/>
      </c>
      <c r="F12" s="8">
        <f>Assumptions!$B$6+A12*Assumptions!$C$6</f>
        <v/>
      </c>
      <c r="G12" s="8">
        <f>Assumptions!$B$7+A12*Assumptions!$C$7</f>
        <v/>
      </c>
      <c r="H12" s="8">
        <f>Assumptions!$B$8+A12*Assumptions!$C$8</f>
        <v/>
      </c>
    </row>
    <row r="32">
      <c r="A32" s="3" t="inlineStr">
        <is>
          <t>Year-5 cash comparison by intensity</t>
        </is>
      </c>
    </row>
    <row r="33">
      <c r="A33" s="4" t="inlineStr">
        <is>
          <t>Intensity</t>
        </is>
      </c>
      <c r="B33" s="4" t="inlineStr">
        <is>
          <t>5yr Rent</t>
        </is>
      </c>
      <c r="C33" s="4" t="inlineStr">
        <is>
          <t>5yr Lab_5k</t>
        </is>
      </c>
      <c r="D33" s="4" t="inlineStr">
        <is>
          <t>5yr Lab_15k</t>
        </is>
      </c>
      <c r="E33" s="4" t="inlineStr">
        <is>
          <t>Cash winner</t>
        </is>
      </c>
      <c r="F33" s="4" t="inlineStr">
        <is>
          <t>Rent - Lab5k</t>
        </is>
      </c>
    </row>
    <row r="34">
      <c r="A34" t="inlineStr">
        <is>
          <t>Sparse</t>
        </is>
      </c>
      <c r="B34" s="8">
        <f>5*Assumptions!B19*$B$4</f>
        <v/>
      </c>
      <c r="C34" s="8">
        <f>Assumptions!B6+5*Assumptions!C6</f>
        <v/>
      </c>
      <c r="D34" s="8">
        <f>Assumptions!B7+5*Assumptions!C7</f>
        <v/>
      </c>
      <c r="E34">
        <f>IF(B34&lt;=C34,"RENT","OWN Lab_5k")</f>
        <v/>
      </c>
      <c r="F34" s="8">
        <f>B34-C34</f>
        <v/>
      </c>
    </row>
    <row r="35">
      <c r="A35" t="inlineStr">
        <is>
          <t>Moderate</t>
        </is>
      </c>
      <c r="B35" s="8">
        <f>5*Assumptions!B20*$B$4</f>
        <v/>
      </c>
      <c r="C35" s="8">
        <f>Assumptions!B6+5*Assumptions!C6</f>
        <v/>
      </c>
      <c r="D35" s="8">
        <f>Assumptions!B7+5*Assumptions!C7</f>
        <v/>
      </c>
      <c r="E35">
        <f>IF(B35&lt;=C35,"RENT","OWN Lab_5k")</f>
        <v/>
      </c>
      <c r="F35" s="8">
        <f>B35-C35</f>
        <v/>
      </c>
    </row>
    <row r="36">
      <c r="A36" t="inlineStr">
        <is>
          <t>Heavy</t>
        </is>
      </c>
      <c r="B36" s="8">
        <f>5*Assumptions!B21*$B$4</f>
        <v/>
      </c>
      <c r="C36" s="8">
        <f>Assumptions!B6+5*Assumptions!C6</f>
        <v/>
      </c>
      <c r="D36" s="8">
        <f>Assumptions!B7+5*Assumptions!C7</f>
        <v/>
      </c>
      <c r="E36">
        <f>IF(B36&lt;=C36,"RENT","OWN Lab_5k")</f>
        <v/>
      </c>
      <c r="F36" s="8">
        <f>B36-C36</f>
        <v/>
      </c>
    </row>
    <row r="37">
      <c r="A37" t="inlineStr">
        <is>
          <t>Industrial</t>
        </is>
      </c>
      <c r="B37" s="8">
        <f>5*Assumptions!B22*$B$4</f>
        <v/>
      </c>
      <c r="C37" s="8">
        <f>Assumptions!B6+5*Assumptions!C6</f>
        <v/>
      </c>
      <c r="D37" s="8">
        <f>Assumptions!B7+5*Assumptions!C7</f>
        <v/>
      </c>
      <c r="E37">
        <f>IF(B37&lt;=C37,"RENT","OWN Lab_5k")</f>
        <v/>
      </c>
      <c r="F37" s="8">
        <f>B37-C37</f>
        <v/>
      </c>
    </row>
    <row r="39">
      <c r="A39" s="20" t="inlineStr">
        <is>
          <t>Positive delta = rent costs MORE than Lab_5k over 5 years (ownership wins on cash).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Adjusted TCO — cash + sovereignty − rental data risk</t>
        </is>
      </c>
    </row>
    <row r="2">
      <c r="A2" s="2" t="inlineStr">
        <is>
          <t>Own gets annual sovereignty credit; rent gets annual data-risk charge. Both from Assumptions.</t>
        </is>
      </c>
    </row>
    <row r="4">
      <c r="A4" t="inlineStr">
        <is>
          <t>Sovereignty benefit $/yr (own)</t>
        </is>
      </c>
      <c r="B4" s="8">
        <f>Assumptions!B28</f>
        <v/>
      </c>
    </row>
    <row r="5">
      <c r="A5" t="inlineStr">
        <is>
          <t>Data-risk cost $/yr (rent)</t>
        </is>
      </c>
      <c r="B5" s="8">
        <f>Assumptions!B29</f>
        <v/>
      </c>
    </row>
    <row r="7">
      <c r="A7" s="4" t="inlineStr">
        <is>
          <t>Intensity</t>
        </is>
      </c>
      <c r="B7" s="4" t="inlineStr">
        <is>
          <t>5yr Rent cash</t>
        </is>
      </c>
      <c r="C7" s="4" t="inlineStr">
        <is>
          <t>5yr Rent + risk</t>
        </is>
      </c>
      <c r="D7" s="4" t="inlineStr">
        <is>
          <t>5yr Lab_5k cash</t>
        </is>
      </c>
      <c r="E7" s="4" t="inlineStr">
        <is>
          <t>5yr Lab − sov credit</t>
        </is>
      </c>
      <c r="F7" s="4" t="inlineStr">
        <is>
          <t>Adj winner</t>
        </is>
      </c>
      <c r="G7" s="4" t="inlineStr">
        <is>
          <t>Adj rent − adj own</t>
        </is>
      </c>
    </row>
    <row r="8">
      <c r="A8" t="inlineStr">
        <is>
          <t>Sparse</t>
        </is>
      </c>
      <c r="B8" s="8">
        <f>5*Assumptions!B19*INDEX(Assumptions!D12:D15,Assumptions!B25-11)</f>
        <v/>
      </c>
      <c r="C8" s="8">
        <f>B8+5*$B$5</f>
        <v/>
      </c>
      <c r="D8" s="8">
        <f>Assumptions!B6+5*Assumptions!C6</f>
        <v/>
      </c>
      <c r="E8" s="8">
        <f>D8-5*$B$4</f>
        <v/>
      </c>
      <c r="F8">
        <f>IF(C8&lt;=E8,"RENT","OWN")</f>
        <v/>
      </c>
      <c r="G8" s="8">
        <f>C8-E8</f>
        <v/>
      </c>
    </row>
    <row r="9">
      <c r="A9" t="inlineStr">
        <is>
          <t>Moderate</t>
        </is>
      </c>
      <c r="B9" s="8">
        <f>5*Assumptions!B20*INDEX(Assumptions!D12:D15,Assumptions!B25-11)</f>
        <v/>
      </c>
      <c r="C9" s="8">
        <f>B9+5*$B$5</f>
        <v/>
      </c>
      <c r="D9" s="8">
        <f>Assumptions!B6+5*Assumptions!C6</f>
        <v/>
      </c>
      <c r="E9" s="8">
        <f>D9-5*$B$4</f>
        <v/>
      </c>
      <c r="F9">
        <f>IF(C9&lt;=E9,"RENT","OWN")</f>
        <v/>
      </c>
      <c r="G9" s="8">
        <f>C9-E9</f>
        <v/>
      </c>
    </row>
    <row r="10">
      <c r="A10" t="inlineStr">
        <is>
          <t>Heavy</t>
        </is>
      </c>
      <c r="B10" s="8">
        <f>5*Assumptions!B21*INDEX(Assumptions!D12:D15,Assumptions!B25-11)</f>
        <v/>
      </c>
      <c r="C10" s="8">
        <f>B10+5*$B$5</f>
        <v/>
      </c>
      <c r="D10" s="8">
        <f>Assumptions!B6+5*Assumptions!C6</f>
        <v/>
      </c>
      <c r="E10" s="8">
        <f>D10-5*$B$4</f>
        <v/>
      </c>
      <c r="F10">
        <f>IF(C10&lt;=E10,"RENT","OWN")</f>
        <v/>
      </c>
      <c r="G10" s="8">
        <f>C10-E10</f>
        <v/>
      </c>
    </row>
    <row r="11">
      <c r="A11" t="inlineStr">
        <is>
          <t>Industrial</t>
        </is>
      </c>
      <c r="B11" s="8">
        <f>5*Assumptions!B22*INDEX(Assumptions!D12:D15,Assumptions!B25-11)</f>
        <v/>
      </c>
      <c r="C11" s="8">
        <f>B11+5*$B$5</f>
        <v/>
      </c>
      <c r="D11" s="8">
        <f>Assumptions!B6+5*Assumptions!C6</f>
        <v/>
      </c>
      <c r="E11" s="8">
        <f>D11-5*$B$4</f>
        <v/>
      </c>
      <c r="F11">
        <f>IF(C11&lt;=E11,"RENT","OWN")</f>
        <v/>
      </c>
      <c r="G11" s="8">
        <f>C11-E11</f>
        <v/>
      </c>
    </row>
    <row r="13">
      <c r="A13" s="20" t="inlineStr">
        <is>
          <t>Positive G = rent still more expensive after risk/sov → OWN preferred on adjusted basis.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Full scenario grid — 5yr cash TCO ($)</t>
        </is>
      </c>
    </row>
    <row r="3">
      <c r="A3" t="inlineStr">
        <is>
          <t>Runs/yr</t>
        </is>
      </c>
      <c r="B3" s="7" t="n">
        <v>4</v>
      </c>
      <c r="C3" s="7" t="n">
        <v>12</v>
      </c>
      <c r="D3" s="7" t="n">
        <v>24</v>
      </c>
      <c r="E3" s="7" t="n">
        <v>36</v>
      </c>
      <c r="F3" s="7" t="n">
        <v>52</v>
      </c>
      <c r="G3" s="7" t="n">
        <v>80</v>
      </c>
      <c r="H3" s="7" t="n">
        <v>120</v>
      </c>
    </row>
    <row r="4">
      <c r="A4" s="21" t="inlineStr">
        <is>
          <t>Option</t>
        </is>
      </c>
      <c r="B4" s="21" t="inlineStr">
        <is>
          <t>4/yr</t>
        </is>
      </c>
      <c r="C4" s="21" t="inlineStr">
        <is>
          <t>12/yr</t>
        </is>
      </c>
      <c r="D4" s="21" t="inlineStr">
        <is>
          <t>24/yr</t>
        </is>
      </c>
      <c r="E4" s="21" t="inlineStr">
        <is>
          <t>36/yr</t>
        </is>
      </c>
      <c r="F4" s="21" t="inlineStr">
        <is>
          <t>52/yr</t>
        </is>
      </c>
      <c r="G4" s="21" t="inlineStr">
        <is>
          <t>80/yr</t>
        </is>
      </c>
      <c r="H4" s="21" t="inlineStr">
        <is>
          <t>120/yr</t>
        </is>
      </c>
    </row>
    <row r="5">
      <c r="A5" t="inlineStr">
        <is>
          <t>Rent 5yr</t>
        </is>
      </c>
      <c r="B5" s="8">
        <f>5*B3*INDEX(Assumptions!$D$12:$D$15,Assumptions!$B$25-11)</f>
        <v/>
      </c>
      <c r="C5" s="8">
        <f>5*C3*INDEX(Assumptions!$D$12:$D$15,Assumptions!$B$25-11)</f>
        <v/>
      </c>
      <c r="D5" s="8">
        <f>5*D3*INDEX(Assumptions!$D$12:$D$15,Assumptions!$B$25-11)</f>
        <v/>
      </c>
      <c r="E5" s="8">
        <f>5*E3*INDEX(Assumptions!$D$12:$D$15,Assumptions!$B$25-11)</f>
        <v/>
      </c>
      <c r="F5" s="8">
        <f>5*F3*INDEX(Assumptions!$D$12:$D$15,Assumptions!$B$25-11)</f>
        <v/>
      </c>
      <c r="G5" s="8">
        <f>5*G3*INDEX(Assumptions!$D$12:$D$15,Assumptions!$B$25-11)</f>
        <v/>
      </c>
      <c r="H5" s="8">
        <f>5*H3*INDEX(Assumptions!$D$12:$D$15,Assumptions!$B$25-11)</f>
        <v/>
      </c>
    </row>
    <row r="6">
      <c r="A6" t="inlineStr">
        <is>
          <t>Lab_5k 5yr</t>
        </is>
      </c>
      <c r="B6" s="8">
        <f>Assumptions!$B$6+5*Assumptions!$C$6</f>
        <v/>
      </c>
      <c r="C6" s="8">
        <f>Assumptions!$B$6+5*Assumptions!$C$6</f>
        <v/>
      </c>
      <c r="D6" s="8">
        <f>Assumptions!$B$6+5*Assumptions!$C$6</f>
        <v/>
      </c>
      <c r="E6" s="8">
        <f>Assumptions!$B$6+5*Assumptions!$C$6</f>
        <v/>
      </c>
      <c r="F6" s="8">
        <f>Assumptions!$B$6+5*Assumptions!$C$6</f>
        <v/>
      </c>
      <c r="G6" s="8">
        <f>Assumptions!$B$6+5*Assumptions!$C$6</f>
        <v/>
      </c>
      <c r="H6" s="8">
        <f>Assumptions!$B$6+5*Assumptions!$C$6</f>
        <v/>
      </c>
    </row>
    <row r="7">
      <c r="A7" t="inlineStr">
        <is>
          <t>Lab_15k 5yr</t>
        </is>
      </c>
      <c r="B7" s="8">
        <f>Assumptions!$B$7+5*Assumptions!$C$7</f>
        <v/>
      </c>
      <c r="C7" s="8">
        <f>Assumptions!$B$7+5*Assumptions!$C$7</f>
        <v/>
      </c>
      <c r="D7" s="8">
        <f>Assumptions!$B$7+5*Assumptions!$C$7</f>
        <v/>
      </c>
      <c r="E7" s="8">
        <f>Assumptions!$B$7+5*Assumptions!$C$7</f>
        <v/>
      </c>
      <c r="F7" s="8">
        <f>Assumptions!$B$7+5*Assumptions!$C$7</f>
        <v/>
      </c>
      <c r="G7" s="8">
        <f>Assumptions!$B$7+5*Assumptions!$C$7</f>
        <v/>
      </c>
      <c r="H7" s="8">
        <f>Assumptions!$B$7+5*Assumptions!$C$7</f>
        <v/>
      </c>
    </row>
    <row r="8">
      <c r="A8" t="inlineStr">
        <is>
          <t>Lab_25k 5yr</t>
        </is>
      </c>
      <c r="B8" s="8">
        <f>Assumptions!$B$8+5*Assumptions!$C$8</f>
        <v/>
      </c>
      <c r="C8" s="8">
        <f>Assumptions!$B$8+5*Assumptions!$C$8</f>
        <v/>
      </c>
      <c r="D8" s="8">
        <f>Assumptions!$B$8+5*Assumptions!$C$8</f>
        <v/>
      </c>
      <c r="E8" s="8">
        <f>Assumptions!$B$8+5*Assumptions!$C$8</f>
        <v/>
      </c>
      <c r="F8" s="8">
        <f>Assumptions!$B$8+5*Assumptions!$C$8</f>
        <v/>
      </c>
      <c r="G8" s="8">
        <f>Assumptions!$B$8+5*Assumptions!$C$8</f>
        <v/>
      </c>
      <c r="H8" s="8">
        <f>Assumptions!$B$8+5*Assumptions!$C$8</f>
        <v/>
      </c>
    </row>
    <row r="9">
      <c r="A9" t="inlineStr">
        <is>
          <t>Winner</t>
        </is>
      </c>
      <c r="B9">
        <f>IF(B5=MIN(B5:B8),"RENT",IF(B6=MIN(B5:B8),"L5k",IF(B7=MIN(B5:B8),"L15k","L25k")))</f>
        <v/>
      </c>
      <c r="C9">
        <f>IF(C5=MIN(C5:C8),"RENT",IF(C6=MIN(C5:C8),"L5k",IF(C7=MIN(C5:C8),"L15k","L25k")))</f>
        <v/>
      </c>
      <c r="D9">
        <f>IF(D5=MIN(D5:D8),"RENT",IF(D6=MIN(D5:D8),"L5k",IF(D7=MIN(D5:D8),"L15k","L25k")))</f>
        <v/>
      </c>
      <c r="E9">
        <f>IF(E5=MIN(E5:E8),"RENT",IF(E6=MIN(E5:E8),"L5k",IF(E7=MIN(E5:E8),"L15k","L25k")))</f>
        <v/>
      </c>
      <c r="F9">
        <f>IF(F5=MIN(F5:F8),"RENT",IF(F6=MIN(F5:F8),"L5k",IF(F7=MIN(F5:F8),"L15k","L25k")))</f>
        <v/>
      </c>
      <c r="G9">
        <f>IF(G5=MIN(G5:G8),"RENT",IF(G6=MIN(G5:G8),"L5k",IF(G7=MIN(G5:G8),"L15k","L25k")))</f>
        <v/>
      </c>
      <c r="H9">
        <f>IF(H5=MIN(H5:H8),"RENT",IF(H6=MIN(H5:H8),"L5k",IF(H7=MIN(H5:H8),"L15k","L25k")))</f>
        <v/>
      </c>
    </row>
    <row r="11">
      <c r="A11" s="20" t="inlineStr">
        <is>
          <t>Winner = pure cash minimum. L15k/L25k rarely win cash-only unless runs or $/job are high.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2026-07-15T22:48:50Z</dcterms:created>
  <dcterms:modified xsi:type="dcterms:W3CDTF">2026-07-15T22:48:50Z</dcterms:modified>
</cp:coreProperties>
</file>